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xr:revisionPtr revIDLastSave="0" documentId="8_{7BA080B2-186C-4EF3-A03F-4CBE2ECCA71A}" xr6:coauthVersionLast="47" xr6:coauthVersionMax="47" xr10:uidLastSave="{00000000-0000-0000-0000-000000000000}"/>
  <bookViews>
    <workbookView xWindow="-108" yWindow="-108" windowWidth="23256" windowHeight="12456" xr2:uid="{25B7B3B2-8F1F-4C2C-925C-1F582A1FB4D2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M4" i="1"/>
  <c r="M3" i="1"/>
  <c r="M2" i="1"/>
  <c r="I5" i="1"/>
  <c r="H2" i="1"/>
  <c r="I2" i="1" s="1"/>
  <c r="H8" i="1"/>
  <c r="I8" i="1" s="1"/>
  <c r="H10" i="1"/>
  <c r="I10" i="1" s="1"/>
  <c r="H4" i="1"/>
  <c r="I4" i="1" s="1"/>
  <c r="H7" i="1"/>
  <c r="I7" i="1" s="1"/>
  <c r="H3" i="1"/>
  <c r="I3" i="1" s="1"/>
  <c r="H9" i="1"/>
  <c r="I9" i="1" s="1"/>
  <c r="H11" i="1"/>
  <c r="I11" i="1" s="1"/>
  <c r="H6" i="1"/>
  <c r="I6" i="1" s="1"/>
  <c r="H5" i="1"/>
  <c r="G2" i="1"/>
  <c r="G8" i="1"/>
  <c r="G10" i="1"/>
  <c r="G4" i="1"/>
  <c r="G7" i="1"/>
  <c r="G3" i="1"/>
  <c r="G9" i="1"/>
  <c r="G11" i="1"/>
  <c r="G6" i="1"/>
  <c r="G5" i="1"/>
</calcChain>
</file>

<file path=xl/sharedStrings.xml><?xml version="1.0" encoding="utf-8"?>
<sst xmlns="http://schemas.openxmlformats.org/spreadsheetml/2006/main" count="41" uniqueCount="29">
  <si>
    <t>Gender</t>
  </si>
  <si>
    <t>Grade</t>
  </si>
  <si>
    <t>AyeshaKhan</t>
  </si>
  <si>
    <t>F</t>
  </si>
  <si>
    <t>BilalAhmed</t>
  </si>
  <si>
    <t>M</t>
  </si>
  <si>
    <t>FatimaNoor</t>
  </si>
  <si>
    <t>HamzaTariq</t>
  </si>
  <si>
    <t>SaraMalik</t>
  </si>
  <si>
    <t>AliRaza</t>
  </si>
  <si>
    <t>MaryamZafar</t>
  </si>
  <si>
    <t>AhmedFarooq</t>
  </si>
  <si>
    <t>HiraIqbal</t>
  </si>
  <si>
    <t>UsmanKhalid</t>
  </si>
  <si>
    <t>Total</t>
  </si>
  <si>
    <t>Average</t>
  </si>
  <si>
    <t>Count</t>
  </si>
  <si>
    <t>A</t>
  </si>
  <si>
    <t>B</t>
  </si>
  <si>
    <t>C</t>
  </si>
  <si>
    <t>Subject 1 Marks</t>
  </si>
  <si>
    <t>Enter Roll No</t>
  </si>
  <si>
    <t>Grand Total</t>
  </si>
  <si>
    <t>Avarage</t>
  </si>
  <si>
    <t>Student Name</t>
  </si>
  <si>
    <t>Roll No</t>
  </si>
  <si>
    <t>Subject 1</t>
  </si>
  <si>
    <t>Subject 2</t>
  </si>
  <si>
    <t>Subject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</si>
</sst>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5"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Marks By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13828745316672"/>
          <c:y val="0.19996311547773313"/>
          <c:w val="0.87858622282205756"/>
          <c:h val="0.613867308492268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BilalAhmed</c:v>
                </c:pt>
                <c:pt idx="1">
                  <c:v>MaryamZafar</c:v>
                </c:pt>
                <c:pt idx="2">
                  <c:v>SaraMalik</c:v>
                </c:pt>
                <c:pt idx="3">
                  <c:v>AyeshaKhan</c:v>
                </c:pt>
                <c:pt idx="4">
                  <c:v>UsmanKhalid</c:v>
                </c:pt>
                <c:pt idx="5">
                  <c:v>AliRaza</c:v>
                </c:pt>
                <c:pt idx="6">
                  <c:v>FatimaNoor</c:v>
                </c:pt>
                <c:pt idx="7">
                  <c:v>AhmedFarooq</c:v>
                </c:pt>
                <c:pt idx="8">
                  <c:v>HamzaTariq</c:v>
                </c:pt>
                <c:pt idx="9">
                  <c:v>HiraIqbal</c:v>
                </c:pt>
              </c:strCache>
            </c:str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270</c:v>
                </c:pt>
                <c:pt idx="1">
                  <c:v>263</c:v>
                </c:pt>
                <c:pt idx="2">
                  <c:v>245</c:v>
                </c:pt>
                <c:pt idx="3">
                  <c:v>237</c:v>
                </c:pt>
                <c:pt idx="4">
                  <c:v>231</c:v>
                </c:pt>
                <c:pt idx="5">
                  <c:v>217</c:v>
                </c:pt>
                <c:pt idx="6">
                  <c:v>203</c:v>
                </c:pt>
                <c:pt idx="7">
                  <c:v>184</c:v>
                </c:pt>
                <c:pt idx="8">
                  <c:v>173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C-4CD7-A541-44301A741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66607519"/>
        <c:axId val="866612799"/>
      </c:barChart>
      <c:catAx>
        <c:axId val="86660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12799"/>
        <c:crosses val="autoZero"/>
        <c:auto val="1"/>
        <c:lblAlgn val="ctr"/>
        <c:lblOffset val="100"/>
        <c:noMultiLvlLbl val="0"/>
      </c:catAx>
      <c:valAx>
        <c:axId val="86661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07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256854</xdr:colOff>
      <xdr:row>14</xdr:row>
      <xdr:rowOff>112888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BAC35-D269-4711-A2AA-08C712176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book" refreshedDate="45944.428556481478" createdVersion="8" refreshedVersion="8" minRefreshableVersion="3" recordCount="10" xr:uid="{8DA2023F-8A56-4194-92BA-1DBBD85E75E5}">
  <cacheSource type="worksheet">
    <worksheetSource ref="A1:I11" sheet="Sheet1"/>
  </cacheSource>
  <cacheFields count="9">
    <cacheField name="StudentName" numFmtId="0">
      <sharedItems/>
    </cacheField>
    <cacheField name="RollNo" numFmtId="0">
      <sharedItems containsSemiMixedTypes="0" containsString="0" containsNumber="1" containsInteger="1" minValue="101" maxValue="110"/>
    </cacheField>
    <cacheField name="Gender" numFmtId="0">
      <sharedItems count="2">
        <s v="M"/>
        <s v="F"/>
      </sharedItems>
    </cacheField>
    <cacheField name="Subject1" numFmtId="0">
      <sharedItems containsSemiMixedTypes="0" containsString="0" containsNumber="1" containsInteger="1" minValue="49" maxValue="92"/>
    </cacheField>
    <cacheField name="Subject2" numFmtId="0">
      <sharedItems containsSemiMixedTypes="0" containsString="0" containsNumber="1" containsInteger="1" minValue="55" maxValue="90"/>
    </cacheField>
    <cacheField name="Subject3" numFmtId="0">
      <sharedItems containsSemiMixedTypes="0" containsString="0" containsNumber="1" containsInteger="1" minValue="53" maxValue="90"/>
    </cacheField>
    <cacheField name="Total" numFmtId="0">
      <sharedItems containsSemiMixedTypes="0" containsString="0" containsNumber="1" containsInteger="1" minValue="157" maxValue="270"/>
    </cacheField>
    <cacheField name="Average" numFmtId="0">
      <sharedItems containsSemiMixedTypes="0" containsString="0" containsNumber="1" minValue="52.3" maxValue="90"/>
    </cacheField>
    <cacheField name="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BilalAhmed"/>
    <n v="102"/>
    <x v="0"/>
    <n v="92"/>
    <n v="88"/>
    <n v="90"/>
    <n v="270"/>
    <n v="90"/>
    <s v="A"/>
  </r>
  <r>
    <s v="MaryamZafar"/>
    <n v="107"/>
    <x v="1"/>
    <n v="88"/>
    <n v="90"/>
    <n v="85"/>
    <n v="263"/>
    <n v="87.7"/>
    <s v="A"/>
  </r>
  <r>
    <s v="SaraMalik"/>
    <n v="105"/>
    <x v="1"/>
    <n v="81"/>
    <n v="79"/>
    <n v="85"/>
    <n v="245"/>
    <n v="81.7"/>
    <s v="A"/>
  </r>
  <r>
    <s v="AyeshaKhan"/>
    <n v="101"/>
    <x v="1"/>
    <n v="78"/>
    <n v="85"/>
    <n v="74"/>
    <n v="237"/>
    <n v="79"/>
    <s v="B"/>
  </r>
  <r>
    <s v="UsmanKhalid"/>
    <n v="110"/>
    <x v="0"/>
    <n v="77"/>
    <n v="80"/>
    <n v="74"/>
    <n v="231"/>
    <n v="77"/>
    <s v="B"/>
  </r>
  <r>
    <s v="AliRaza"/>
    <n v="106"/>
    <x v="0"/>
    <n v="73"/>
    <n v="69"/>
    <n v="75"/>
    <n v="217"/>
    <n v="72.3"/>
    <s v="B"/>
  </r>
  <r>
    <s v="FatimaNoor"/>
    <n v="103"/>
    <x v="1"/>
    <n v="65"/>
    <n v="70"/>
    <n v="68"/>
    <n v="203"/>
    <n v="67.7"/>
    <s v="B"/>
  </r>
  <r>
    <s v="AhmedFarooq"/>
    <n v="108"/>
    <x v="0"/>
    <n v="61"/>
    <n v="64"/>
    <n v="59"/>
    <n v="184"/>
    <n v="61.3"/>
    <s v="B"/>
  </r>
  <r>
    <s v="HamzaTariq"/>
    <n v="104"/>
    <x v="0"/>
    <n v="55"/>
    <n v="58"/>
    <n v="60"/>
    <n v="173"/>
    <n v="57.7"/>
    <s v="C"/>
  </r>
  <r>
    <s v="HiraIqbal"/>
    <n v="109"/>
    <x v="1"/>
    <n v="49"/>
    <n v="55"/>
    <n v="53"/>
    <n v="157"/>
    <n v="52.3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C67A4-E4FC-4CC2-BCCD-230A11967E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1:B4" firstHeaderRow="1" firstDataRow="1" firstDataCol="1"/>
  <pivotFields count="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arage" fld="7" subtotal="average" baseField="2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58BA-E235-4A6F-9553-4EF3986450DD}">
  <dimension ref="A1:P11"/>
  <sheetViews>
    <sheetView tabSelected="1" zoomScale="89" workbookViewId="0">
      <selection activeCell="I11" sqref="I11"/>
    </sheetView>
  </sheetViews>
  <sheetFormatPr defaultRowHeight="14.4" x14ac:dyDescent="0.3"/>
  <cols>
    <col min="1" max="1" width="12.88671875" bestFit="1" customWidth="1"/>
    <col min="2" max="2" width="17.88671875" bestFit="1" customWidth="1"/>
    <col min="15" max="15" width="16" bestFit="1" customWidth="1"/>
    <col min="16" max="16" width="13.88671875" bestFit="1" customWidth="1"/>
  </cols>
  <sheetData>
    <row r="1" spans="1:16" x14ac:dyDescent="0.3">
      <c r="A1" t="s">
        <v>24</v>
      </c>
      <c r="B1" t="s">
        <v>25</v>
      </c>
      <c r="C1" t="s">
        <v>0</v>
      </c>
      <c r="D1" t="s">
        <v>26</v>
      </c>
      <c r="E1" t="s">
        <v>27</v>
      </c>
      <c r="F1" t="s">
        <v>28</v>
      </c>
      <c r="G1" t="s">
        <v>14</v>
      </c>
      <c r="H1" t="s">
        <v>15</v>
      </c>
      <c r="I1" t="s">
        <v>1</v>
      </c>
      <c r="L1" t="s">
        <v>1</v>
      </c>
      <c r="M1" t="s">
        <v>16</v>
      </c>
      <c r="O1" t="s">
        <v>21</v>
      </c>
      <c r="P1" t="s">
        <v>20</v>
      </c>
    </row>
    <row r="2" spans="1:16" x14ac:dyDescent="0.3">
      <c r="A2" t="s">
        <v>4</v>
      </c>
      <c r="B2" s="1">
        <v>102</v>
      </c>
      <c r="C2" s="1" t="s">
        <v>5</v>
      </c>
      <c r="D2" s="1">
        <v>92</v>
      </c>
      <c r="E2" s="1">
        <v>88</v>
      </c>
      <c r="F2" s="1">
        <v>90</v>
      </c>
      <c r="G2" s="1">
        <f t="shared" ref="G2:G11" si="0">SUM(D2:F2)</f>
        <v>270</v>
      </c>
      <c r="H2" s="1">
        <f t="shared" ref="H2:H11" si="1">ROUND(AVERAGE(D2:F2),1)</f>
        <v>90</v>
      </c>
      <c r="I2" s="1" t="str">
        <f t="shared" ref="I2:I11" si="2">IF(H2&gt;=80,"A",IF(H2&gt;=60,"B","C"))</f>
        <v>A</v>
      </c>
      <c r="L2" t="s">
        <v>17</v>
      </c>
      <c r="M2" s="1">
        <f>COUNTIF(I2:I11,"A")</f>
        <v>3</v>
      </c>
      <c r="O2" s="1">
        <v>107</v>
      </c>
      <c r="P2" s="1">
        <f>VLOOKUP(O2,B2:I11,3,FALSE)</f>
        <v>88</v>
      </c>
    </row>
    <row r="3" spans="1:16" x14ac:dyDescent="0.3">
      <c r="A3" t="s">
        <v>10</v>
      </c>
      <c r="B3" s="1">
        <v>107</v>
      </c>
      <c r="C3" s="1" t="s">
        <v>3</v>
      </c>
      <c r="D3" s="1">
        <v>88</v>
      </c>
      <c r="E3" s="1">
        <v>90</v>
      </c>
      <c r="F3" s="1">
        <v>85</v>
      </c>
      <c r="G3" s="1">
        <f t="shared" si="0"/>
        <v>263</v>
      </c>
      <c r="H3" s="1">
        <f t="shared" si="1"/>
        <v>87.7</v>
      </c>
      <c r="I3" s="1" t="str">
        <f t="shared" si="2"/>
        <v>A</v>
      </c>
      <c r="L3" t="s">
        <v>18</v>
      </c>
      <c r="M3" s="1">
        <f>COUNTIF(I2:I11,"B")</f>
        <v>5</v>
      </c>
    </row>
    <row r="4" spans="1:16" x14ac:dyDescent="0.3">
      <c r="A4" t="s">
        <v>8</v>
      </c>
      <c r="B4" s="1">
        <v>105</v>
      </c>
      <c r="C4" s="1" t="s">
        <v>3</v>
      </c>
      <c r="D4" s="1">
        <v>81</v>
      </c>
      <c r="E4" s="1">
        <v>79</v>
      </c>
      <c r="F4" s="1">
        <v>85</v>
      </c>
      <c r="G4" s="1">
        <f t="shared" si="0"/>
        <v>245</v>
      </c>
      <c r="H4" s="1">
        <f t="shared" si="1"/>
        <v>81.7</v>
      </c>
      <c r="I4" s="1" t="str">
        <f t="shared" si="2"/>
        <v>A</v>
      </c>
      <c r="L4" t="s">
        <v>19</v>
      </c>
      <c r="M4" s="1">
        <f>COUNTIF(I2:I11,"C")</f>
        <v>2</v>
      </c>
    </row>
    <row r="5" spans="1:16" x14ac:dyDescent="0.3">
      <c r="A5" t="s">
        <v>2</v>
      </c>
      <c r="B5" s="1">
        <v>101</v>
      </c>
      <c r="C5" s="1" t="s">
        <v>3</v>
      </c>
      <c r="D5" s="1">
        <v>78</v>
      </c>
      <c r="E5" s="1">
        <v>85</v>
      </c>
      <c r="F5" s="1">
        <v>74</v>
      </c>
      <c r="G5" s="1">
        <f t="shared" si="0"/>
        <v>237</v>
      </c>
      <c r="H5" s="1">
        <f t="shared" si="1"/>
        <v>79</v>
      </c>
      <c r="I5" s="1" t="str">
        <f t="shared" si="2"/>
        <v>B</v>
      </c>
    </row>
    <row r="6" spans="1:16" x14ac:dyDescent="0.3">
      <c r="A6" t="s">
        <v>13</v>
      </c>
      <c r="B6" s="1">
        <v>110</v>
      </c>
      <c r="C6" s="1" t="s">
        <v>5</v>
      </c>
      <c r="D6" s="1">
        <v>77</v>
      </c>
      <c r="E6" s="1">
        <v>80</v>
      </c>
      <c r="F6" s="1">
        <v>74</v>
      </c>
      <c r="G6" s="1">
        <f t="shared" si="0"/>
        <v>231</v>
      </c>
      <c r="H6" s="1">
        <f t="shared" si="1"/>
        <v>77</v>
      </c>
      <c r="I6" s="1" t="str">
        <f t="shared" si="2"/>
        <v>B</v>
      </c>
    </row>
    <row r="7" spans="1:16" x14ac:dyDescent="0.3">
      <c r="A7" t="s">
        <v>9</v>
      </c>
      <c r="B7" s="1">
        <v>106</v>
      </c>
      <c r="C7" s="1" t="s">
        <v>5</v>
      </c>
      <c r="D7" s="1">
        <v>73</v>
      </c>
      <c r="E7" s="1">
        <v>69</v>
      </c>
      <c r="F7" s="1">
        <v>75</v>
      </c>
      <c r="G7" s="1">
        <f t="shared" si="0"/>
        <v>217</v>
      </c>
      <c r="H7" s="1">
        <f t="shared" si="1"/>
        <v>72.3</v>
      </c>
      <c r="I7" s="1" t="str">
        <f t="shared" si="2"/>
        <v>B</v>
      </c>
    </row>
    <row r="8" spans="1:16" x14ac:dyDescent="0.3">
      <c r="A8" t="s">
        <v>6</v>
      </c>
      <c r="B8" s="1">
        <v>103</v>
      </c>
      <c r="C8" s="1" t="s">
        <v>3</v>
      </c>
      <c r="D8" s="1">
        <v>65</v>
      </c>
      <c r="E8" s="1">
        <v>70</v>
      </c>
      <c r="F8" s="1">
        <v>68</v>
      </c>
      <c r="G8" s="1">
        <f t="shared" si="0"/>
        <v>203</v>
      </c>
      <c r="H8" s="1">
        <f t="shared" si="1"/>
        <v>67.7</v>
      </c>
      <c r="I8" s="1" t="str">
        <f t="shared" si="2"/>
        <v>B</v>
      </c>
    </row>
    <row r="9" spans="1:16" x14ac:dyDescent="0.3">
      <c r="A9" t="s">
        <v>11</v>
      </c>
      <c r="B9" s="1">
        <v>108</v>
      </c>
      <c r="C9" s="1" t="s">
        <v>5</v>
      </c>
      <c r="D9" s="1">
        <v>61</v>
      </c>
      <c r="E9" s="1">
        <v>64</v>
      </c>
      <c r="F9" s="1">
        <v>59</v>
      </c>
      <c r="G9" s="1">
        <f t="shared" si="0"/>
        <v>184</v>
      </c>
      <c r="H9" s="1">
        <f t="shared" si="1"/>
        <v>61.3</v>
      </c>
      <c r="I9" s="1" t="str">
        <f t="shared" si="2"/>
        <v>B</v>
      </c>
    </row>
    <row r="10" spans="1:16" x14ac:dyDescent="0.3">
      <c r="A10" t="s">
        <v>7</v>
      </c>
      <c r="B10" s="1">
        <v>104</v>
      </c>
      <c r="C10" s="1" t="s">
        <v>5</v>
      </c>
      <c r="D10" s="1">
        <v>55</v>
      </c>
      <c r="E10" s="1">
        <v>58</v>
      </c>
      <c r="F10" s="1">
        <v>60</v>
      </c>
      <c r="G10" s="1">
        <f t="shared" si="0"/>
        <v>173</v>
      </c>
      <c r="H10" s="1">
        <f t="shared" si="1"/>
        <v>57.7</v>
      </c>
      <c r="I10" s="1" t="str">
        <f t="shared" si="2"/>
        <v>C</v>
      </c>
    </row>
    <row r="11" spans="1:16" x14ac:dyDescent="0.3">
      <c r="A11" t="s">
        <v>12</v>
      </c>
      <c r="B11" s="1">
        <v>109</v>
      </c>
      <c r="C11" s="1" t="s">
        <v>3</v>
      </c>
      <c r="D11" s="1">
        <v>49</v>
      </c>
      <c r="E11" s="1">
        <v>55</v>
      </c>
      <c r="F11" s="1">
        <v>53</v>
      </c>
      <c r="G11" s="1">
        <f t="shared" si="0"/>
        <v>157</v>
      </c>
      <c r="H11" s="1">
        <f t="shared" si="1"/>
        <v>52.3</v>
      </c>
      <c r="I11" s="1" t="str">
        <f t="shared" si="2"/>
        <v>C</v>
      </c>
    </row>
  </sheetData>
  <sortState xmlns:xlrd2="http://schemas.microsoft.com/office/spreadsheetml/2017/richdata2" ref="A2:I11">
    <sortCondition descending="1" ref="H2:H11"/>
  </sortState>
  <conditionalFormatting sqref="I2:I11">
    <cfRule type="cellIs" dxfId="5" priority="1" operator="equal">
      <formula>"C"</formula>
    </cfRule>
    <cfRule type="cellIs" dxfId="3" priority="2" operator="equal">
      <formula>"B"</formula>
    </cfRule>
    <cfRule type="cellIs" dxfId="4" priority="5" operator="equal">
      <formula>"A"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E053-9DA9-4488-953C-6FFF147FBD07}">
  <dimension ref="A1"/>
  <sheetViews>
    <sheetView workbookViewId="0">
      <selection activeCell="I17" sqref="I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F0F4-CE8E-47D9-BDA2-71B0F4989621}">
  <dimension ref="A1:B4"/>
  <sheetViews>
    <sheetView workbookViewId="0">
      <selection activeCell="B4" sqref="B4"/>
    </sheetView>
  </sheetViews>
  <sheetFormatPr defaultRowHeight="14.4" x14ac:dyDescent="0.3"/>
  <cols>
    <col min="1" max="1" width="17.77734375" bestFit="1" customWidth="1"/>
    <col min="2" max="2" width="12.5546875" bestFit="1" customWidth="1"/>
  </cols>
  <sheetData>
    <row r="1" spans="1:2" ht="18" x14ac:dyDescent="0.35">
      <c r="A1" s="2" t="s">
        <v>0</v>
      </c>
      <c r="B1" s="3" t="s">
        <v>23</v>
      </c>
    </row>
    <row r="2" spans="1:2" ht="18" x14ac:dyDescent="0.35">
      <c r="A2" s="4" t="s">
        <v>3</v>
      </c>
      <c r="B2" s="3">
        <v>73.680000000000007</v>
      </c>
    </row>
    <row r="3" spans="1:2" ht="18" x14ac:dyDescent="0.35">
      <c r="A3" s="4" t="s">
        <v>5</v>
      </c>
      <c r="B3" s="3">
        <v>71.66</v>
      </c>
    </row>
    <row r="4" spans="1:2" ht="18" x14ac:dyDescent="0.35">
      <c r="A4" s="4" t="s">
        <v>22</v>
      </c>
      <c r="B4" s="3">
        <v>72.67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2025-10-14T03:36:42Z</dcterms:created>
  <dcterms:modified xsi:type="dcterms:W3CDTF">2025-10-14T05:36:05Z</dcterms:modified>
</cp:coreProperties>
</file>